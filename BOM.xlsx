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<sst xmlns="http://schemas.openxmlformats.org/spreadsheetml/2006/main" count="27" uniqueCount="26">
  <si>
    <t xml:space="preserve">Id</t>
  </si>
  <si>
    <t xml:space="preserve">Name</t>
  </si>
  <si>
    <t xml:space="preserve">Quantity</t>
  </si>
  <si>
    <t xml:space="preserve">Designation</t>
  </si>
  <si>
    <t xml:space="preserve">Supplier and ref</t>
  </si>
  <si>
    <t xml:space="preserve">Price Per Unit INR</t>
  </si>
  <si>
    <t xml:space="preserve">Total INR</t>
  </si>
  <si>
    <t xml:space="preserve">Diode SMD 123</t>
  </si>
  <si>
    <t xml:space="preserve">1N4148WT</t>
  </si>
  <si>
    <t xml:space="preserve">https://robu.in/product/tpmbr140sft1g-tech-public-sod-123-schottky-diodes-rohs/</t>
  </si>
  <si>
    <t xml:space="preserve">Switches (Pack of 10)</t>
  </si>
  <si>
    <t xml:space="preserve">SW_Push</t>
  </si>
  <si>
    <t xml:space="preserve">https://stackskb.com/store/click-inc-hp-switch-pack-of-10-pre-order/</t>
  </si>
  <si>
    <t xml:space="preserve">RaspberryPi Pico W</t>
  </si>
  <si>
    <t xml:space="preserve">RaspberryPi_Pico_W</t>
  </si>
  <si>
    <t xml:space="preserve">https://robu.in/product/raspberry-pi-pico-w/</t>
  </si>
  <si>
    <t xml:space="preserve">Keycaps</t>
  </si>
  <si>
    <t xml:space="preserve">https://stackskb.com/store/veekos-gradient-keycaps-cherry-profile-135-keys/</t>
  </si>
  <si>
    <t xml:space="preserve">Hotswap Sockets(Pack of 1)</t>
  </si>
  <si>
    <t xml:space="preserve">https://stackskb.com/store/ttc-pokayoke-hotswap-sockets-v2-10000-cycles</t>
  </si>
  <si>
    <t xml:space="preserve">PCB Fab</t>
  </si>
  <si>
    <t xml:space="preserve">https://cart.jlcpcb.com/shopcart/cart</t>
  </si>
  <si>
    <t xml:space="preserve">TOTAL</t>
  </si>
  <si>
    <t xml:space="preserve">TOTAL USD</t>
  </si>
  <si>
    <t xml:space="preserve">Round off</t>
  </si>
  <si>
    <t xml:space="preserve">$60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</si>
</sst>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₹-4009]#,##0.00;[RED]\-[$₹-4009]#,##0.00"/>
    <numFmt numFmtId="166" formatCode="[$$-475]#,##0.00;[RED]\-[$$-475]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obu.in/product/tpmbr140sft1g-tech-public-sod-123-schottky-diodes-rohs/" TargetMode="External"/><Relationship Id="rId2" Type="http://schemas.openxmlformats.org/officeDocument/2006/relationships/hyperlink" Target="https://stackskb.com/store/click-inc-hp-switch-pack-of-10-pre-order/" TargetMode="External"/><Relationship Id="rId3" Type="http://schemas.openxmlformats.org/officeDocument/2006/relationships/hyperlink" Target="https://robu.in/product/raspberry-pi-pico-w/" TargetMode="External"/><Relationship Id="rId4" Type="http://schemas.openxmlformats.org/officeDocument/2006/relationships/hyperlink" Target="https://stackskb.com/store/veekos-gradient-keycaps-cherry-profile-135-keys/" TargetMode="External"/><Relationship Id="rId5" Type="http://schemas.openxmlformats.org/officeDocument/2006/relationships/hyperlink" Target="https://stackskb.com/store/ttc-pokayoke-hotswap-sockets-v2-10000-cycles" TargetMode="External"/><Relationship Id="rId6" Type="http://schemas.openxmlformats.org/officeDocument/2006/relationships/hyperlink" Target="https://cart.jlcpcb.com/shopcart/car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10" activeCellId="0" sqref="G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.1"/>
    <col collapsed="false" customWidth="true" hidden="false" outlineLevel="0" max="2" min="2" style="1" width="24.73"/>
    <col collapsed="false" customWidth="true" hidden="false" outlineLevel="0" max="3" min="3" style="1" width="8.49"/>
    <col collapsed="false" customWidth="true" hidden="false" outlineLevel="0" max="4" min="4" style="1" width="19.55"/>
    <col collapsed="false" customWidth="true" hidden="false" outlineLevel="0" max="5" min="5" style="1" width="34.78"/>
    <col collapsed="false" customWidth="true" hidden="false" outlineLevel="0" max="6" min="6" style="1" width="16.31"/>
    <col collapsed="false" customWidth="true" hidden="false" outlineLevel="0" max="7" min="7" style="0" width="15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1</v>
      </c>
      <c r="B2" s="1" t="s">
        <v>7</v>
      </c>
      <c r="C2" s="1" t="n">
        <v>36</v>
      </c>
      <c r="D2" s="1" t="s">
        <v>8</v>
      </c>
      <c r="E2" s="2" t="s">
        <v>9</v>
      </c>
      <c r="F2" s="3" t="n">
        <v>2.49</v>
      </c>
      <c r="G2" s="3" t="n">
        <f aca="false">F2*C2</f>
        <v>89.64</v>
      </c>
    </row>
    <row r="3" customFormat="false" ht="12.8" hidden="false" customHeight="false" outlineLevel="0" collapsed="false">
      <c r="A3" s="1" t="n">
        <v>2</v>
      </c>
      <c r="B3" s="1" t="s">
        <v>10</v>
      </c>
      <c r="C3" s="1" t="n">
        <v>4</v>
      </c>
      <c r="D3" s="1" t="s">
        <v>11</v>
      </c>
      <c r="E3" s="2" t="s">
        <v>12</v>
      </c>
      <c r="F3" s="3" t="n">
        <v>180</v>
      </c>
      <c r="G3" s="3" t="n">
        <f aca="false">F3*C3</f>
        <v>720</v>
      </c>
    </row>
    <row r="4" customFormat="false" ht="12.8" hidden="false" customHeight="false" outlineLevel="0" collapsed="false">
      <c r="A4" s="1" t="n">
        <v>3</v>
      </c>
      <c r="B4" s="1" t="s">
        <v>13</v>
      </c>
      <c r="C4" s="1" t="n">
        <v>1</v>
      </c>
      <c r="D4" s="1" t="s">
        <v>14</v>
      </c>
      <c r="E4" s="2" t="s">
        <v>15</v>
      </c>
      <c r="F4" s="3" t="n">
        <v>614</v>
      </c>
      <c r="G4" s="3" t="n">
        <f aca="false">F4*C4</f>
        <v>614</v>
      </c>
    </row>
    <row r="5" customFormat="false" ht="12.8" hidden="false" customHeight="true" outlineLevel="0" collapsed="false">
      <c r="A5" s="1" t="n">
        <v>4</v>
      </c>
      <c r="B5" s="1" t="s">
        <v>16</v>
      </c>
      <c r="C5" s="1" t="n">
        <v>1</v>
      </c>
      <c r="E5" s="2" t="s">
        <v>17</v>
      </c>
      <c r="F5" s="4" t="n">
        <v>1299</v>
      </c>
      <c r="G5" s="3" t="n">
        <f aca="false">F5*C5</f>
        <v>1299</v>
      </c>
    </row>
    <row r="6" customFormat="false" ht="12.8" hidden="false" customHeight="true" outlineLevel="0" collapsed="false">
      <c r="A6" s="1" t="n">
        <v>5</v>
      </c>
      <c r="B6" s="1" t="s">
        <v>18</v>
      </c>
      <c r="C6" s="1" t="n">
        <v>34</v>
      </c>
      <c r="D6" s="5" t="s">
        <v>11</v>
      </c>
      <c r="E6" s="2" t="s">
        <v>19</v>
      </c>
      <c r="F6" s="4" t="n">
        <v>10</v>
      </c>
      <c r="G6" s="3" t="n">
        <f aca="false">F6*C6</f>
        <v>340</v>
      </c>
    </row>
    <row r="7" customFormat="false" ht="12.8" hidden="false" customHeight="true" outlineLevel="0" collapsed="false">
      <c r="A7" s="1" t="n">
        <v>6</v>
      </c>
      <c r="B7" s="1" t="s">
        <v>20</v>
      </c>
      <c r="C7" s="1" t="n">
        <v>1</v>
      </c>
      <c r="E7" s="2" t="s">
        <v>21</v>
      </c>
      <c r="F7" s="6" t="n">
        <f aca="false">25.21*91</f>
        <v>2294.11</v>
      </c>
      <c r="G7" s="3" t="n">
        <f aca="false">F7*C7</f>
        <v>2294.11</v>
      </c>
    </row>
    <row r="8" customFormat="false" ht="12.8" hidden="false" customHeight="true" outlineLevel="0" collapsed="false">
      <c r="E8" s="5" t="s">
        <v>22</v>
      </c>
      <c r="G8" s="3" t="n">
        <f aca="false">SUM(G2:G7)</f>
        <v>5356.75</v>
      </c>
    </row>
    <row r="9" customFormat="false" ht="12.8" hidden="false" customHeight="true" outlineLevel="0" collapsed="false">
      <c r="E9" s="1" t="s">
        <v>23</v>
      </c>
      <c r="G9" s="7" t="n">
        <f aca="false">G8/90.27</f>
        <v>59.3414201838928</v>
      </c>
    </row>
    <row r="10" customFormat="false" ht="12.8" hidden="false" customHeight="true" outlineLevel="0" collapsed="false">
      <c r="E10" s="1" t="s">
        <v>24</v>
      </c>
      <c r="G10" s="0" t="s">
        <v>25</v>
      </c>
    </row>
  </sheetData>
  <hyperlinks>
    <hyperlink ref="E2" r:id="rId1" display="https://robu.in/product/tpmbr140sft1g-tech-public-sod-123-schottky-diodes-rohs/"/>
    <hyperlink ref="E3" r:id="rId2" display="https://stackskb.com/store/click-inc-hp-switch-pack-of-10-pre-order/"/>
    <hyperlink ref="E4" r:id="rId3" display="https://robu.in/product/raspberry-pi-pico-w/"/>
    <hyperlink ref="E5" r:id="rId4" display="https://stackskb.com/store/veekos-gradient-keycaps-cherry-profile-135-keys/"/>
    <hyperlink ref="E6" r:id="rId5" display="https://stackskb.com/store/ttc-pokayoke-hotswap-sockets-v2-10000-cycles"/>
    <hyperlink ref="E7" r:id="rId6" display="https://cart.jlcpcb.com/shopcart/car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2026-01-10T21:43:00Z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